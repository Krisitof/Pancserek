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ko.kristof\Desktop\"/>
    </mc:Choice>
  </mc:AlternateContent>
  <xr:revisionPtr revIDLastSave="0" documentId="13_ncr:1_{9C82F998-9269-45F0-8FBF-17067D232C23}" xr6:coauthVersionLast="36" xr6:coauthVersionMax="36" xr10:uidLastSave="{00000000-0000-0000-0000-000000000000}"/>
  <bookViews>
    <workbookView xWindow="0" yWindow="0" windowWidth="28800" windowHeight="12225" xr2:uid="{AB87AF21-618D-460E-81CC-73F0B2F6AE6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F17" i="1"/>
  <c r="F18" i="1"/>
  <c r="F19" i="1"/>
  <c r="F20" i="1"/>
  <c r="F21" i="1"/>
  <c r="F22" i="1"/>
  <c r="F23" i="1"/>
  <c r="F24" i="1"/>
  <c r="F16" i="1"/>
  <c r="H10" i="1"/>
  <c r="H11" i="1"/>
  <c r="I11" i="1"/>
  <c r="I10" i="1"/>
  <c r="I3" i="1"/>
  <c r="I4" i="1"/>
  <c r="I5" i="1"/>
  <c r="I6" i="1"/>
  <c r="I7" i="1"/>
  <c r="I8" i="1"/>
  <c r="I9" i="1"/>
  <c r="I2" i="1"/>
  <c r="I17" i="1"/>
  <c r="I18" i="1"/>
  <c r="I19" i="1"/>
  <c r="I20" i="1"/>
  <c r="I21" i="1"/>
  <c r="I22" i="1"/>
  <c r="I23" i="1"/>
  <c r="I24" i="1"/>
  <c r="I25" i="1"/>
  <c r="I16" i="1"/>
  <c r="H23" i="1"/>
  <c r="H17" i="1"/>
  <c r="H18" i="1"/>
  <c r="H19" i="1"/>
  <c r="H20" i="1"/>
  <c r="H21" i="1"/>
  <c r="H22" i="1"/>
  <c r="H24" i="1"/>
  <c r="H25" i="1"/>
  <c r="H16" i="1"/>
  <c r="G8" i="1"/>
  <c r="G25" i="1"/>
  <c r="G17" i="1"/>
  <c r="G18" i="1"/>
  <c r="G19" i="1"/>
  <c r="G20" i="1"/>
  <c r="G21" i="1"/>
  <c r="G22" i="1"/>
  <c r="G23" i="1"/>
  <c r="G24" i="1"/>
  <c r="H3" i="1"/>
  <c r="H4" i="1"/>
  <c r="H5" i="1"/>
  <c r="H6" i="1"/>
  <c r="H7" i="1"/>
  <c r="H8" i="1"/>
  <c r="H9" i="1"/>
  <c r="H2" i="1"/>
  <c r="G16" i="1"/>
  <c r="G11" i="1"/>
  <c r="G3" i="1"/>
  <c r="G4" i="1"/>
  <c r="G5" i="1"/>
  <c r="G6" i="1"/>
  <c r="G7" i="1"/>
  <c r="G9" i="1"/>
  <c r="G10" i="1"/>
  <c r="F3" i="1"/>
  <c r="F4" i="1"/>
  <c r="F5" i="1"/>
  <c r="F6" i="1"/>
  <c r="F7" i="1"/>
  <c r="F8" i="1"/>
  <c r="F9" i="1"/>
  <c r="F10" i="1"/>
  <c r="F11" i="1"/>
  <c r="G2" i="1"/>
  <c r="F2" i="1"/>
  <c r="J24" i="1" l="1"/>
  <c r="J21" i="1"/>
  <c r="J23" i="1"/>
  <c r="J22" i="1"/>
  <c r="J20" i="1"/>
  <c r="J25" i="1"/>
  <c r="J19" i="1"/>
  <c r="J18" i="1"/>
  <c r="J17" i="1"/>
  <c r="J16" i="1"/>
  <c r="J6" i="1"/>
  <c r="J2" i="1"/>
  <c r="J3" i="1"/>
  <c r="J10" i="1"/>
  <c r="J11" i="1"/>
  <c r="J7" i="1"/>
  <c r="J4" i="1"/>
  <c r="J5" i="1"/>
  <c r="J8" i="1"/>
  <c r="J9" i="1"/>
</calcChain>
</file>

<file path=xl/sharedStrings.xml><?xml version="1.0" encoding="utf-8"?>
<sst xmlns="http://schemas.openxmlformats.org/spreadsheetml/2006/main" count="40" uniqueCount="32">
  <si>
    <t>Fogyasztás</t>
  </si>
  <si>
    <t>Teljesítmény</t>
  </si>
  <si>
    <t>Cég neve</t>
  </si>
  <si>
    <t>Ár (M Ft)</t>
  </si>
  <si>
    <t>Garancia (év)</t>
  </si>
  <si>
    <t>Tapasztalat (év)</t>
  </si>
  <si>
    <t>Ár pont</t>
  </si>
  <si>
    <t>Fogyasztás pont</t>
  </si>
  <si>
    <t>Garancia pont</t>
  </si>
  <si>
    <t>Tapasztalat pont</t>
  </si>
  <si>
    <t>Noble Nexus</t>
  </si>
  <si>
    <t>Velocity Vault</t>
  </si>
  <si>
    <t>Rev Up</t>
  </si>
  <si>
    <t>Titan Torque</t>
  </si>
  <si>
    <t>Precision Pit</t>
  </si>
  <si>
    <t>Engine Essence</t>
  </si>
  <si>
    <t>Turbo Touch</t>
  </si>
  <si>
    <t>Dynamic Drive</t>
  </si>
  <si>
    <t>Apex Auto</t>
  </si>
  <si>
    <t>Radiant Repairs</t>
  </si>
  <si>
    <t>Össz.</t>
  </si>
  <si>
    <t>TechNexus Solutions</t>
  </si>
  <si>
    <t>PixelWave Technologies</t>
  </si>
  <si>
    <t>CyberNest Innovations</t>
  </si>
  <si>
    <t>DigitalPulse IT</t>
  </si>
  <si>
    <t>Skyline TechWorks</t>
  </si>
  <si>
    <t>NexGen IT Services</t>
  </si>
  <si>
    <t>InnoByte IT Hub</t>
  </si>
  <si>
    <t>LogicStream IT</t>
  </si>
  <si>
    <t>NovaByte Systems</t>
  </si>
  <si>
    <t>TechNest Solutions</t>
  </si>
  <si>
    <t>Teljesítmény 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</si>
</sst>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7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B386-B7FB-4106-98F5-D0004F65BB31}">
  <dimension ref="A1:J25"/>
  <sheetViews>
    <sheetView tabSelected="1" workbookViewId="0">
      <selection activeCell="H33" sqref="H33"/>
    </sheetView>
  </sheetViews>
  <sheetFormatPr defaultRowHeight="15" x14ac:dyDescent="0.25"/>
  <cols>
    <col min="1" max="1" width="23" bestFit="1" customWidth="1"/>
    <col min="2" max="2" width="8.7109375" bestFit="1" customWidth="1"/>
    <col min="3" max="3" width="12.42578125" bestFit="1" customWidth="1"/>
    <col min="4" max="4" width="12.5703125" bestFit="1" customWidth="1"/>
    <col min="5" max="5" width="15" bestFit="1" customWidth="1"/>
    <col min="6" max="6" width="9.5703125" bestFit="1" customWidth="1"/>
    <col min="7" max="7" width="17.28515625" bestFit="1" customWidth="1"/>
    <col min="8" max="8" width="13.28515625" bestFit="1" customWidth="1"/>
    <col min="9" max="9" width="15.5703125" bestFit="1" customWidth="1"/>
  </cols>
  <sheetData>
    <row r="1" spans="1:10" x14ac:dyDescent="0.25">
      <c r="A1" s="1" t="s">
        <v>2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20</v>
      </c>
    </row>
    <row r="2" spans="1:10" x14ac:dyDescent="0.25">
      <c r="A2" t="s">
        <v>10</v>
      </c>
      <c r="B2">
        <v>12</v>
      </c>
      <c r="C2">
        <v>10</v>
      </c>
      <c r="D2">
        <v>3</v>
      </c>
      <c r="E2">
        <v>10</v>
      </c>
      <c r="F2" s="2">
        <f>MAX(0,(15-B2)/15*100)</f>
        <v>20</v>
      </c>
      <c r="G2" s="2">
        <f>MAX(0,(15-C2)/15*100)</f>
        <v>33.333333333333329</v>
      </c>
      <c r="H2" s="2">
        <f>D2/MAX($D$2:$D$11)*100</f>
        <v>42.857142857142854</v>
      </c>
      <c r="I2" s="2">
        <f>E2/MAX($E$2:$E$11)*100</f>
        <v>45.454545454545453</v>
      </c>
      <c r="J2" s="2">
        <f>F2*0.4 + G2*0.25 + H2*0.25 + I2*0.1</f>
        <v>31.593073593073591</v>
      </c>
    </row>
    <row r="3" spans="1:10" x14ac:dyDescent="0.25">
      <c r="A3" t="s">
        <v>11</v>
      </c>
      <c r="B3">
        <v>10</v>
      </c>
      <c r="C3">
        <v>13</v>
      </c>
      <c r="D3">
        <v>5</v>
      </c>
      <c r="E3">
        <v>3</v>
      </c>
      <c r="F3" s="2">
        <f>MAX(0,(15-B3)/15*100)</f>
        <v>33.333333333333329</v>
      </c>
      <c r="G3" s="2">
        <f>MAX(0,(15-C3)/15*100)</f>
        <v>13.333333333333334</v>
      </c>
      <c r="H3" s="2">
        <f t="shared" ref="H3:H11" si="0">D3/MAX($D$2:$D$11)*100</f>
        <v>71.428571428571431</v>
      </c>
      <c r="I3" s="2">
        <f t="shared" ref="I3:I11" si="1">E3/MAX($E$2:$E$11)*100</f>
        <v>13.636363636363635</v>
      </c>
      <c r="J3" s="2">
        <f>F3*0.4 + G3*0.25 + H3*0.25 + I3*0.1</f>
        <v>35.887445887445885</v>
      </c>
    </row>
    <row r="4" spans="1:10" x14ac:dyDescent="0.25">
      <c r="A4" t="s">
        <v>12</v>
      </c>
      <c r="B4">
        <v>14</v>
      </c>
      <c r="C4">
        <v>7</v>
      </c>
      <c r="D4">
        <v>2</v>
      </c>
      <c r="E4">
        <v>15</v>
      </c>
      <c r="F4" s="2">
        <f>MAX(0,(15-B4)/15*100)</f>
        <v>6.666666666666667</v>
      </c>
      <c r="G4" s="2">
        <f>MAX(0,(15-C4)/15*100)</f>
        <v>53.333333333333336</v>
      </c>
      <c r="H4" s="2">
        <f t="shared" si="0"/>
        <v>28.571428571428569</v>
      </c>
      <c r="I4" s="2">
        <f t="shared" si="1"/>
        <v>68.181818181818173</v>
      </c>
      <c r="J4" s="2">
        <f>F4*0.4 + G4*0.25 + H4*0.25 + I4*0.1</f>
        <v>29.961038961038959</v>
      </c>
    </row>
    <row r="5" spans="1:10" x14ac:dyDescent="0.25">
      <c r="A5" t="s">
        <v>13</v>
      </c>
      <c r="B5">
        <v>13.5</v>
      </c>
      <c r="C5">
        <v>9</v>
      </c>
      <c r="D5">
        <v>2</v>
      </c>
      <c r="E5">
        <v>7</v>
      </c>
      <c r="F5" s="2">
        <f>MAX(0,(15-B5)/15*100)</f>
        <v>10</v>
      </c>
      <c r="G5" s="2">
        <f>MAX(0,(15-C5)/15*100)</f>
        <v>40</v>
      </c>
      <c r="H5" s="2">
        <f t="shared" si="0"/>
        <v>28.571428571428569</v>
      </c>
      <c r="I5" s="2">
        <f t="shared" si="1"/>
        <v>31.818181818181817</v>
      </c>
      <c r="J5" s="2">
        <f>F5*0.4 + G5*0.25 + H5*0.25 + I5*0.1</f>
        <v>24.324675324675326</v>
      </c>
    </row>
    <row r="6" spans="1:10" x14ac:dyDescent="0.25">
      <c r="A6" t="s">
        <v>15</v>
      </c>
      <c r="B6">
        <v>9</v>
      </c>
      <c r="C6">
        <v>6.5</v>
      </c>
      <c r="D6">
        <v>1</v>
      </c>
      <c r="E6">
        <v>22</v>
      </c>
      <c r="F6" s="2">
        <f>MAX(0,(15-B6)/15*100)</f>
        <v>40</v>
      </c>
      <c r="G6" s="2">
        <f>MAX(0,(15-C6)/15*100)</f>
        <v>56.666666666666664</v>
      </c>
      <c r="H6" s="2">
        <f t="shared" si="0"/>
        <v>14.285714285714285</v>
      </c>
      <c r="I6" s="2">
        <f t="shared" si="1"/>
        <v>100</v>
      </c>
      <c r="J6" s="2">
        <f>F6*0.4 + G6*0.25 + H6*0.25 + I6*0.1</f>
        <v>43.738095238095234</v>
      </c>
    </row>
    <row r="7" spans="1:10" x14ac:dyDescent="0.25">
      <c r="A7" t="s">
        <v>14</v>
      </c>
      <c r="B7">
        <v>11</v>
      </c>
      <c r="C7">
        <v>10</v>
      </c>
      <c r="D7">
        <v>4</v>
      </c>
      <c r="E7">
        <v>1</v>
      </c>
      <c r="F7" s="2">
        <f>MAX(0,(15-B7)/15*100)</f>
        <v>26.666666666666668</v>
      </c>
      <c r="G7" s="2">
        <f>MAX(0,(15-C7)/15*100)</f>
        <v>33.333333333333329</v>
      </c>
      <c r="H7" s="2">
        <f t="shared" si="0"/>
        <v>57.142857142857139</v>
      </c>
      <c r="I7" s="2">
        <f t="shared" si="1"/>
        <v>4.5454545454545459</v>
      </c>
      <c r="J7" s="2">
        <f>F7*0.4 + G7*0.25 + H7*0.25 + I7*0.1</f>
        <v>33.740259740259738</v>
      </c>
    </row>
    <row r="8" spans="1:10" x14ac:dyDescent="0.25">
      <c r="A8" t="s">
        <v>16</v>
      </c>
      <c r="B8">
        <v>12.3</v>
      </c>
      <c r="C8">
        <v>12</v>
      </c>
      <c r="D8">
        <v>3</v>
      </c>
      <c r="E8">
        <v>12</v>
      </c>
      <c r="F8" s="2">
        <f>MAX(0,(15-B8)/15*100)</f>
        <v>17.999999999999996</v>
      </c>
      <c r="G8" s="2">
        <f>MAX(0,(15-C8)/15*100)</f>
        <v>20</v>
      </c>
      <c r="H8" s="2">
        <f t="shared" si="0"/>
        <v>42.857142857142854</v>
      </c>
      <c r="I8" s="2">
        <f t="shared" si="1"/>
        <v>54.54545454545454</v>
      </c>
      <c r="J8" s="2">
        <f>F8*0.4 + G8*0.25 + H8*0.25 + I8*0.1</f>
        <v>28.368831168831164</v>
      </c>
    </row>
    <row r="9" spans="1:10" x14ac:dyDescent="0.25">
      <c r="A9" t="s">
        <v>17</v>
      </c>
      <c r="B9">
        <v>13.5</v>
      </c>
      <c r="C9">
        <v>10</v>
      </c>
      <c r="D9">
        <v>7</v>
      </c>
      <c r="E9">
        <v>19</v>
      </c>
      <c r="F9" s="2">
        <f>MAX(0,(15-B9)/15*100)</f>
        <v>10</v>
      </c>
      <c r="G9" s="2">
        <f>MAX(0,(15-C9)/15*100)</f>
        <v>33.333333333333329</v>
      </c>
      <c r="H9" s="2">
        <f t="shared" si="0"/>
        <v>100</v>
      </c>
      <c r="I9" s="2">
        <f t="shared" si="1"/>
        <v>86.36363636363636</v>
      </c>
      <c r="J9" s="2">
        <f>F9*0.4 + G9*0.25 + H9*0.25 + I9*0.1</f>
        <v>45.969696969696969</v>
      </c>
    </row>
    <row r="10" spans="1:10" x14ac:dyDescent="0.25">
      <c r="A10" t="s">
        <v>18</v>
      </c>
      <c r="B10">
        <v>12.8</v>
      </c>
      <c r="C10">
        <v>9</v>
      </c>
      <c r="D10">
        <v>3</v>
      </c>
      <c r="E10">
        <v>6</v>
      </c>
      <c r="F10" s="2">
        <f>MAX(0,(15-B10)/15*100)</f>
        <v>14.666666666666661</v>
      </c>
      <c r="G10" s="2">
        <f>MAX(0,(15-C10)/15*100)</f>
        <v>40</v>
      </c>
      <c r="H10" s="2">
        <f t="shared" si="0"/>
        <v>42.857142857142854</v>
      </c>
      <c r="I10" s="2">
        <f>E10/MAX($E$2:$E$11)*100</f>
        <v>27.27272727272727</v>
      </c>
      <c r="J10" s="2">
        <f>F10*0.4 + G10*0.25 + H10*0.25 + I10*0.1</f>
        <v>29.308225108225102</v>
      </c>
    </row>
    <row r="11" spans="1:10" x14ac:dyDescent="0.25">
      <c r="A11" t="s">
        <v>19</v>
      </c>
      <c r="B11">
        <v>10.25</v>
      </c>
      <c r="C11">
        <v>13</v>
      </c>
      <c r="D11">
        <v>2</v>
      </c>
      <c r="E11">
        <v>9</v>
      </c>
      <c r="F11" s="2">
        <f>MAX(0,(15-B11)/15*100)</f>
        <v>31.666666666666664</v>
      </c>
      <c r="G11" s="2">
        <f>MAX(0,(15-C11)/15*100)</f>
        <v>13.333333333333334</v>
      </c>
      <c r="H11" s="2">
        <f t="shared" si="0"/>
        <v>28.571428571428569</v>
      </c>
      <c r="I11" s="2">
        <f>E11/MAX($E$2:$E$11)*100</f>
        <v>40.909090909090914</v>
      </c>
      <c r="J11" s="2">
        <f>F11*0.4 + G11*0.25 + H11*0.25 + I11*0.1</f>
        <v>27.233766233766232</v>
      </c>
    </row>
    <row r="15" spans="1:10" x14ac:dyDescent="0.25">
      <c r="A15" t="s">
        <v>2</v>
      </c>
      <c r="B15" t="s">
        <v>3</v>
      </c>
      <c r="C15" t="s">
        <v>1</v>
      </c>
      <c r="D15" t="s">
        <v>4</v>
      </c>
      <c r="E15" s="1" t="s">
        <v>5</v>
      </c>
      <c r="F15" s="1" t="s">
        <v>6</v>
      </c>
      <c r="G15" s="1" t="s">
        <v>31</v>
      </c>
      <c r="H15" s="1" t="s">
        <v>8</v>
      </c>
      <c r="I15" s="1" t="s">
        <v>9</v>
      </c>
      <c r="J15" s="1" t="s">
        <v>20</v>
      </c>
    </row>
    <row r="16" spans="1:10" x14ac:dyDescent="0.25">
      <c r="A16" t="s">
        <v>21</v>
      </c>
      <c r="B16">
        <v>4.3</v>
      </c>
      <c r="C16">
        <v>2000</v>
      </c>
      <c r="D16">
        <v>3</v>
      </c>
      <c r="E16">
        <v>10</v>
      </c>
      <c r="F16" s="2">
        <f>MAX(0,(5.5-B16)/15*100)</f>
        <v>8.0000000000000018</v>
      </c>
      <c r="G16" s="2">
        <f>C16/MAX($C$16:$C$25)*100</f>
        <v>86.956521739130437</v>
      </c>
      <c r="H16" s="2">
        <f>D16/MAX($D$16:$D$25)*100</f>
        <v>75</v>
      </c>
      <c r="I16" s="2">
        <f>E16/MAX($E$16:$E$25)*100</f>
        <v>45.454545454545453</v>
      </c>
      <c r="J16" s="2">
        <f>F16*0.4 + G16*0.25 + H16*0.25 + I16*0.1</f>
        <v>48.234584980237159</v>
      </c>
    </row>
    <row r="17" spans="1:10" x14ac:dyDescent="0.25">
      <c r="A17" t="s">
        <v>22</v>
      </c>
      <c r="B17">
        <v>3.5</v>
      </c>
      <c r="C17">
        <v>1850</v>
      </c>
      <c r="D17">
        <v>4</v>
      </c>
      <c r="E17">
        <v>3</v>
      </c>
      <c r="F17" s="2">
        <f t="shared" ref="F17:F24" si="2">MAX(0,(5.5-B17)/15*100)</f>
        <v>13.333333333333334</v>
      </c>
      <c r="G17" s="2">
        <f t="shared" ref="G17:G24" si="3">C17/MAX($C$16:$C$25)*100</f>
        <v>80.434782608695656</v>
      </c>
      <c r="H17" s="2">
        <f t="shared" ref="H17:H25" si="4">D17/MAX($D$16:$D$25)*100</f>
        <v>100</v>
      </c>
      <c r="I17" s="2">
        <f t="shared" ref="I17:I25" si="5">E17/MAX($E$16:$E$25)*100</f>
        <v>13.636363636363635</v>
      </c>
      <c r="J17" s="2">
        <f>F17*0.4 + G17*0.25 + H17*0.25 + I17*0.1</f>
        <v>51.805665349143617</v>
      </c>
    </row>
    <row r="18" spans="1:10" x14ac:dyDescent="0.25">
      <c r="A18" t="s">
        <v>23</v>
      </c>
      <c r="B18">
        <v>5.2</v>
      </c>
      <c r="C18">
        <v>2300</v>
      </c>
      <c r="D18">
        <v>3</v>
      </c>
      <c r="E18">
        <v>15</v>
      </c>
      <c r="F18" s="2">
        <f t="shared" si="2"/>
        <v>1.9999999999999987</v>
      </c>
      <c r="G18" s="2">
        <f t="shared" si="3"/>
        <v>100</v>
      </c>
      <c r="H18" s="2">
        <f t="shared" si="4"/>
        <v>75</v>
      </c>
      <c r="I18" s="2">
        <f t="shared" si="5"/>
        <v>68.181818181818173</v>
      </c>
      <c r="J18" s="2">
        <f>F18*0.4 + G18*0.25 + H18*0.25 + I18*0.1</f>
        <v>51.368181818181817</v>
      </c>
    </row>
    <row r="19" spans="1:10" x14ac:dyDescent="0.25">
      <c r="A19" t="s">
        <v>24</v>
      </c>
      <c r="B19">
        <v>2.7</v>
      </c>
      <c r="C19">
        <v>1500</v>
      </c>
      <c r="D19">
        <v>2</v>
      </c>
      <c r="E19">
        <v>7</v>
      </c>
      <c r="F19" s="2">
        <f t="shared" si="2"/>
        <v>18.666666666666664</v>
      </c>
      <c r="G19" s="2">
        <f t="shared" si="3"/>
        <v>65.217391304347828</v>
      </c>
      <c r="H19" s="2">
        <f t="shared" si="4"/>
        <v>50</v>
      </c>
      <c r="I19" s="2">
        <f t="shared" si="5"/>
        <v>31.818181818181817</v>
      </c>
      <c r="J19" s="2">
        <f>F19*0.4 + G19*0.25 + H19*0.25 + I19*0.1</f>
        <v>39.452832674571802</v>
      </c>
    </row>
    <row r="20" spans="1:10" x14ac:dyDescent="0.25">
      <c r="A20" t="s">
        <v>25</v>
      </c>
      <c r="B20">
        <v>4</v>
      </c>
      <c r="C20">
        <v>1950</v>
      </c>
      <c r="D20">
        <v>2</v>
      </c>
      <c r="E20">
        <v>22</v>
      </c>
      <c r="F20" s="2">
        <f t="shared" si="2"/>
        <v>10</v>
      </c>
      <c r="G20" s="2">
        <f t="shared" si="3"/>
        <v>84.782608695652172</v>
      </c>
      <c r="H20" s="2">
        <f t="shared" si="4"/>
        <v>50</v>
      </c>
      <c r="I20" s="2">
        <f t="shared" si="5"/>
        <v>100</v>
      </c>
      <c r="J20" s="2">
        <f>F20*0.4 + G20*0.25 + H20*0.25 + I20*0.1</f>
        <v>47.695652173913047</v>
      </c>
    </row>
    <row r="21" spans="1:10" x14ac:dyDescent="0.25">
      <c r="A21" t="s">
        <v>26</v>
      </c>
      <c r="B21">
        <v>4.7</v>
      </c>
      <c r="C21">
        <v>2000</v>
      </c>
      <c r="D21">
        <v>4</v>
      </c>
      <c r="E21">
        <v>1</v>
      </c>
      <c r="F21" s="2">
        <f t="shared" si="2"/>
        <v>5.3333333333333321</v>
      </c>
      <c r="G21" s="2">
        <f t="shared" si="3"/>
        <v>86.956521739130437</v>
      </c>
      <c r="H21" s="2">
        <f t="shared" si="4"/>
        <v>100</v>
      </c>
      <c r="I21" s="2">
        <f t="shared" si="5"/>
        <v>4.5454545454545459</v>
      </c>
      <c r="J21" s="2">
        <f>F21*0.4 + G21*0.25 + H21*0.25 + I21*0.1</f>
        <v>49.327009222661395</v>
      </c>
    </row>
    <row r="22" spans="1:10" x14ac:dyDescent="0.25">
      <c r="A22" t="s">
        <v>27</v>
      </c>
      <c r="B22">
        <v>3.8</v>
      </c>
      <c r="C22">
        <v>1800</v>
      </c>
      <c r="D22">
        <v>3</v>
      </c>
      <c r="E22">
        <v>12</v>
      </c>
      <c r="F22" s="2">
        <f t="shared" si="2"/>
        <v>11.333333333333334</v>
      </c>
      <c r="G22" s="2">
        <f t="shared" si="3"/>
        <v>78.260869565217391</v>
      </c>
      <c r="H22" s="2">
        <f t="shared" si="4"/>
        <v>75</v>
      </c>
      <c r="I22" s="2">
        <f t="shared" si="5"/>
        <v>54.54545454545454</v>
      </c>
      <c r="J22" s="2">
        <f>F22*0.4 + G22*0.25 + H22*0.25 + I22*0.1</f>
        <v>48.303096179183136</v>
      </c>
    </row>
    <row r="23" spans="1:10" x14ac:dyDescent="0.25">
      <c r="A23" t="s">
        <v>28</v>
      </c>
      <c r="B23">
        <v>3.9</v>
      </c>
      <c r="C23">
        <v>1750</v>
      </c>
      <c r="D23">
        <v>4</v>
      </c>
      <c r="E23">
        <v>19</v>
      </c>
      <c r="F23" s="2">
        <f t="shared" si="2"/>
        <v>10.666666666666668</v>
      </c>
      <c r="G23" s="2">
        <f t="shared" si="3"/>
        <v>76.08695652173914</v>
      </c>
      <c r="H23" s="2">
        <f>D23/MAX($D$16:$D$25)*100</f>
        <v>100</v>
      </c>
      <c r="I23" s="2">
        <f t="shared" si="5"/>
        <v>86.36363636363636</v>
      </c>
      <c r="J23" s="2">
        <f>F23*0.4 + G23*0.25 + H23*0.25 + I23*0.1</f>
        <v>56.924769433465087</v>
      </c>
    </row>
    <row r="24" spans="1:10" x14ac:dyDescent="0.25">
      <c r="A24" t="s">
        <v>29</v>
      </c>
      <c r="B24">
        <v>3.5</v>
      </c>
      <c r="C24">
        <v>1600</v>
      </c>
      <c r="D24">
        <v>3</v>
      </c>
      <c r="E24">
        <v>6</v>
      </c>
      <c r="F24" s="2">
        <f t="shared" si="2"/>
        <v>13.333333333333334</v>
      </c>
      <c r="G24" s="2">
        <f t="shared" si="3"/>
        <v>69.565217391304344</v>
      </c>
      <c r="H24" s="2">
        <f t="shared" si="4"/>
        <v>75</v>
      </c>
      <c r="I24" s="2">
        <f t="shared" si="5"/>
        <v>27.27272727272727</v>
      </c>
      <c r="J24" s="2">
        <f>F24*0.4 + G24*0.25 + H24*0.25 + I24*0.1</f>
        <v>44.201910408432148</v>
      </c>
    </row>
    <row r="25" spans="1:10" x14ac:dyDescent="0.25">
      <c r="A25" t="s">
        <v>30</v>
      </c>
      <c r="B25">
        <v>4.2</v>
      </c>
      <c r="C25">
        <v>2100</v>
      </c>
      <c r="D25">
        <v>2</v>
      </c>
      <c r="E25">
        <v>9</v>
      </c>
      <c r="F25" s="2">
        <f>MAX(0,(5.5-B25)/15*100)</f>
        <v>8.6666666666666661</v>
      </c>
      <c r="G25" s="2">
        <f>C25/MAX($C$16:$C$25)*100</f>
        <v>91.304347826086953</v>
      </c>
      <c r="H25" s="2">
        <f t="shared" si="4"/>
        <v>50</v>
      </c>
      <c r="I25" s="2">
        <f t="shared" si="5"/>
        <v>40.909090909090914</v>
      </c>
      <c r="J25" s="2">
        <f>F25*0.4 + G25*0.25 + H25*0.25 + I25*0.1</f>
        <v>42.883662714097497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Sinkó Kristóf</dc:creator>
  <cp:lastModifiedBy>Sinkó Kristóf</cp:lastModifiedBy>
  <dcterms:created xsi:type="dcterms:W3CDTF">2026-03-30T13:03:59Z</dcterms:created>
  <dcterms:modified xsi:type="dcterms:W3CDTF">2026-03-30T13:42:03Z</dcterms:modified>
</cp:coreProperties>
</file>